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"/>
    </mc:Choice>
  </mc:AlternateContent>
  <xr:revisionPtr revIDLastSave="0" documentId="8_{B7D2E0F0-A4AB-4B9F-85CF-50166601445F}" xr6:coauthVersionLast="47" xr6:coauthVersionMax="47" xr10:uidLastSave="{00000000-0000-0000-0000-000000000000}"/>
  <bookViews>
    <workbookView xWindow="-108" yWindow="-108" windowWidth="23256" windowHeight="12456" xr2:uid="{6C3792BD-ED8C-4773-AE5D-109238BEF1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2" l="1"/>
  <c r="J60" i="2"/>
  <c r="I60" i="2"/>
  <c r="H60" i="2"/>
  <c r="G60" i="2"/>
  <c r="F60" i="2"/>
  <c r="E60" i="2"/>
  <c r="D60" i="2"/>
  <c r="C60" i="2"/>
  <c r="K59" i="2"/>
  <c r="J59" i="2"/>
  <c r="I59" i="2"/>
  <c r="H59" i="2"/>
  <c r="G59" i="2"/>
  <c r="F59" i="2"/>
  <c r="E59" i="2"/>
  <c r="D59" i="2"/>
  <c r="C59" i="2"/>
  <c r="K17" i="2"/>
  <c r="J17" i="2"/>
  <c r="I17" i="2"/>
  <c r="H17" i="2"/>
  <c r="G17" i="2"/>
  <c r="F17" i="2"/>
  <c r="E17" i="2"/>
  <c r="D17" i="2"/>
  <c r="C17" i="2"/>
  <c r="P57" i="1"/>
  <c r="P56" i="1"/>
  <c r="P55" i="1"/>
  <c r="P54" i="1"/>
  <c r="P53" i="1"/>
  <c r="P52" i="1"/>
  <c r="P51" i="1"/>
  <c r="P41" i="1"/>
  <c r="P42" i="1"/>
  <c r="P43" i="1"/>
  <c r="P44" i="1"/>
  <c r="P45" i="1"/>
  <c r="P46" i="1"/>
  <c r="P40" i="1"/>
</calcChain>
</file>

<file path=xl/sharedStrings.xml><?xml version="1.0" encoding="utf-8"?>
<sst xmlns="http://schemas.openxmlformats.org/spreadsheetml/2006/main" count="155" uniqueCount="41">
  <si>
    <t>Country</t>
  </si>
  <si>
    <t>#</t>
  </si>
  <si>
    <t>Bangladesh</t>
  </si>
  <si>
    <t>Australia</t>
  </si>
  <si>
    <t>China</t>
  </si>
  <si>
    <t>India</t>
  </si>
  <si>
    <t>Malaysia</t>
  </si>
  <si>
    <t>UAE</t>
  </si>
  <si>
    <t>Credit Risk Appetite Breaches - Unsecured</t>
  </si>
  <si>
    <t>L12M</t>
  </si>
  <si>
    <t>Y</t>
  </si>
  <si>
    <t>Total</t>
  </si>
  <si>
    <t>Credit Risk Appetite Breaches - Secured</t>
  </si>
  <si>
    <t>Country Sovereign Rating &amp; Outlook</t>
  </si>
  <si>
    <t>LCY CRG</t>
  </si>
  <si>
    <t>FCY CRG</t>
  </si>
  <si>
    <t>Outlook</t>
  </si>
  <si>
    <t>1B</t>
  </si>
  <si>
    <t>Negative</t>
  </si>
  <si>
    <t>Stable</t>
  </si>
  <si>
    <t>Positive</t>
  </si>
  <si>
    <t>Approved Date</t>
  </si>
  <si>
    <t>5B</t>
  </si>
  <si>
    <t>7B</t>
  </si>
  <si>
    <t>9B</t>
  </si>
  <si>
    <t>4B</t>
  </si>
  <si>
    <t>2A</t>
  </si>
  <si>
    <t>Property Price Index</t>
  </si>
  <si>
    <t>YOY Change %</t>
  </si>
  <si>
    <t>Nepal</t>
  </si>
  <si>
    <t>Egypt</t>
  </si>
  <si>
    <t>Sri Lanka</t>
  </si>
  <si>
    <t>Oman</t>
  </si>
  <si>
    <t>Pakistan</t>
  </si>
  <si>
    <t>Interest Rates</t>
  </si>
  <si>
    <t>Last 3 yrs</t>
  </si>
  <si>
    <t>Rate Increase</t>
  </si>
  <si>
    <t>Unsecured Portfolio with Active or Expired Dispensation</t>
  </si>
  <si>
    <t>Secured Portfolio with Active or Expired Dispensation</t>
  </si>
  <si>
    <t>SME Portfolio with Active or Expired Dispensation</t>
  </si>
  <si>
    <t>WL Portfolio with Active or Expired Dispensation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</si>
</sst>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7" fontId="0" fillId="0" borderId="0" xfId="0" applyNumberFormat="1"/>
    <xf numFmtId="17" fontId="2" fillId="3" borderId="1" xfId="0" applyNumberFormat="1" applyFont="1" applyFill="1" applyBorder="1"/>
    <xf numFmtId="0" fontId="0" fillId="3" borderId="1" xfId="0" applyFill="1" applyBorder="1"/>
    <xf numFmtId="0" fontId="1" fillId="2" borderId="0" xfId="0" applyFont="1" applyFill="1"/>
    <xf numFmtId="17" fontId="0" fillId="0" borderId="1" xfId="0" applyNumberFormat="1" applyBorder="1"/>
    <xf numFmtId="10" fontId="0" fillId="0" borderId="0" xfId="0" applyNumberFormat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DD09-2CDC-4408-B218-2E5165BFA555}">
  <dimension ref="B2:P67"/>
  <sheetViews>
    <sheetView tabSelected="1" topLeftCell="A21" workbookViewId="0">
      <selection activeCell="B2" sqref="B2:C36"/>
    </sheetView>
  </sheetViews>
  <sheetFormatPr defaultRowHeight="14.4" x14ac:dyDescent="0.3"/>
  <cols>
    <col min="2" max="2" width="34.88671875" customWidth="1"/>
    <col min="3" max="3" width="19.21875" customWidth="1"/>
    <col min="6" max="6" width="13.5546875" customWidth="1"/>
  </cols>
  <sheetData>
    <row r="2" spans="2:3" x14ac:dyDescent="0.3">
      <c r="B2" s="9" t="s">
        <v>37</v>
      </c>
      <c r="C2" s="9"/>
    </row>
    <row r="3" spans="2:3" x14ac:dyDescent="0.3">
      <c r="B3" s="1" t="s">
        <v>0</v>
      </c>
      <c r="C3" s="1" t="s">
        <v>1</v>
      </c>
    </row>
    <row r="4" spans="2:3" x14ac:dyDescent="0.3">
      <c r="B4" s="2" t="s">
        <v>2</v>
      </c>
      <c r="C4" s="2">
        <v>1</v>
      </c>
    </row>
    <row r="5" spans="2:3" x14ac:dyDescent="0.3">
      <c r="B5" s="2" t="s">
        <v>3</v>
      </c>
      <c r="C5" s="2">
        <v>3</v>
      </c>
    </row>
    <row r="6" spans="2:3" x14ac:dyDescent="0.3">
      <c r="B6" s="2" t="s">
        <v>4</v>
      </c>
      <c r="C6" s="2">
        <v>4</v>
      </c>
    </row>
    <row r="7" spans="2:3" x14ac:dyDescent="0.3">
      <c r="B7" s="2" t="s">
        <v>5</v>
      </c>
      <c r="C7" s="2">
        <v>2</v>
      </c>
    </row>
    <row r="8" spans="2:3" x14ac:dyDescent="0.3">
      <c r="B8" s="2" t="s">
        <v>6</v>
      </c>
      <c r="C8" s="2">
        <v>1</v>
      </c>
    </row>
    <row r="9" spans="2:3" x14ac:dyDescent="0.3">
      <c r="B9" s="2" t="s">
        <v>7</v>
      </c>
      <c r="C9" s="2">
        <v>3</v>
      </c>
    </row>
    <row r="11" spans="2:3" x14ac:dyDescent="0.3">
      <c r="B11" s="9" t="s">
        <v>38</v>
      </c>
      <c r="C11" s="9"/>
    </row>
    <row r="12" spans="2:3" x14ac:dyDescent="0.3">
      <c r="B12" s="1" t="s">
        <v>0</v>
      </c>
      <c r="C12" s="1" t="s">
        <v>1</v>
      </c>
    </row>
    <row r="13" spans="2:3" x14ac:dyDescent="0.3">
      <c r="B13" s="2" t="s">
        <v>2</v>
      </c>
      <c r="C13" s="2">
        <v>1</v>
      </c>
    </row>
    <row r="14" spans="2:3" x14ac:dyDescent="0.3">
      <c r="B14" s="2" t="s">
        <v>3</v>
      </c>
      <c r="C14" s="2">
        <v>3</v>
      </c>
    </row>
    <row r="15" spans="2:3" x14ac:dyDescent="0.3">
      <c r="B15" s="2" t="s">
        <v>4</v>
      </c>
      <c r="C15" s="2">
        <v>4</v>
      </c>
    </row>
    <row r="16" spans="2:3" x14ac:dyDescent="0.3">
      <c r="B16" s="2" t="s">
        <v>5</v>
      </c>
      <c r="C16" s="2">
        <v>2</v>
      </c>
    </row>
    <row r="17" spans="2:3" x14ac:dyDescent="0.3">
      <c r="B17" s="2" t="s">
        <v>6</v>
      </c>
      <c r="C17" s="2">
        <v>1</v>
      </c>
    </row>
    <row r="18" spans="2:3" x14ac:dyDescent="0.3">
      <c r="B18" s="2" t="s">
        <v>7</v>
      </c>
      <c r="C18" s="2">
        <v>3</v>
      </c>
    </row>
    <row r="20" spans="2:3" x14ac:dyDescent="0.3">
      <c r="B20" s="9" t="s">
        <v>39</v>
      </c>
      <c r="C20" s="9"/>
    </row>
    <row r="21" spans="2:3" x14ac:dyDescent="0.3">
      <c r="B21" s="1" t="s">
        <v>0</v>
      </c>
      <c r="C21" s="1" t="s">
        <v>1</v>
      </c>
    </row>
    <row r="22" spans="2:3" x14ac:dyDescent="0.3">
      <c r="B22" s="2" t="s">
        <v>2</v>
      </c>
      <c r="C22" s="2">
        <v>1</v>
      </c>
    </row>
    <row r="23" spans="2:3" x14ac:dyDescent="0.3">
      <c r="B23" s="2" t="s">
        <v>3</v>
      </c>
      <c r="C23" s="2">
        <v>3</v>
      </c>
    </row>
    <row r="24" spans="2:3" x14ac:dyDescent="0.3">
      <c r="B24" s="2" t="s">
        <v>4</v>
      </c>
      <c r="C24" s="2">
        <v>4</v>
      </c>
    </row>
    <row r="25" spans="2:3" x14ac:dyDescent="0.3">
      <c r="B25" s="2" t="s">
        <v>5</v>
      </c>
      <c r="C25" s="2">
        <v>2</v>
      </c>
    </row>
    <row r="26" spans="2:3" x14ac:dyDescent="0.3">
      <c r="B26" s="2" t="s">
        <v>6</v>
      </c>
      <c r="C26" s="2">
        <v>1</v>
      </c>
    </row>
    <row r="27" spans="2:3" x14ac:dyDescent="0.3">
      <c r="B27" s="2" t="s">
        <v>7</v>
      </c>
      <c r="C27" s="2">
        <v>3</v>
      </c>
    </row>
    <row r="29" spans="2:3" x14ac:dyDescent="0.3">
      <c r="B29" s="9" t="s">
        <v>40</v>
      </c>
      <c r="C29" s="9"/>
    </row>
    <row r="30" spans="2:3" x14ac:dyDescent="0.3">
      <c r="B30" s="1" t="s">
        <v>0</v>
      </c>
      <c r="C30" s="1" t="s">
        <v>1</v>
      </c>
    </row>
    <row r="31" spans="2:3" x14ac:dyDescent="0.3">
      <c r="B31" s="2" t="s">
        <v>2</v>
      </c>
      <c r="C31" s="2">
        <v>1</v>
      </c>
    </row>
    <row r="32" spans="2:3" x14ac:dyDescent="0.3">
      <c r="B32" s="2" t="s">
        <v>3</v>
      </c>
      <c r="C32" s="2">
        <v>3</v>
      </c>
    </row>
    <row r="33" spans="2:16" x14ac:dyDescent="0.3">
      <c r="B33" s="2" t="s">
        <v>4</v>
      </c>
      <c r="C33" s="2">
        <v>4</v>
      </c>
    </row>
    <row r="34" spans="2:16" x14ac:dyDescent="0.3">
      <c r="B34" s="2" t="s">
        <v>5</v>
      </c>
      <c r="C34" s="2">
        <v>2</v>
      </c>
    </row>
    <row r="35" spans="2:16" x14ac:dyDescent="0.3">
      <c r="B35" s="2" t="s">
        <v>6</v>
      </c>
      <c r="C35" s="2">
        <v>1</v>
      </c>
    </row>
    <row r="36" spans="2:16" x14ac:dyDescent="0.3">
      <c r="B36" s="2" t="s">
        <v>7</v>
      </c>
      <c r="C36" s="2">
        <v>3</v>
      </c>
    </row>
    <row r="38" spans="2:16" x14ac:dyDescent="0.3">
      <c r="B38" s="10" t="s">
        <v>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2"/>
    </row>
    <row r="39" spans="2:16" x14ac:dyDescent="0.3">
      <c r="B39" s="1" t="s">
        <v>0</v>
      </c>
      <c r="C39" s="4">
        <v>45717</v>
      </c>
      <c r="D39" s="4">
        <v>45748</v>
      </c>
      <c r="E39" s="4">
        <v>45778</v>
      </c>
      <c r="F39" s="4">
        <v>45809</v>
      </c>
      <c r="G39" s="4">
        <v>45839</v>
      </c>
      <c r="H39" s="4">
        <v>45870</v>
      </c>
      <c r="I39" s="4">
        <v>45901</v>
      </c>
      <c r="J39" s="4">
        <v>45931</v>
      </c>
      <c r="K39" s="4">
        <v>45962</v>
      </c>
      <c r="L39" s="4">
        <v>45992</v>
      </c>
      <c r="M39" s="4">
        <v>46023</v>
      </c>
      <c r="N39" s="4">
        <v>46054</v>
      </c>
      <c r="O39" s="4">
        <v>46082</v>
      </c>
      <c r="P39" s="1" t="s">
        <v>9</v>
      </c>
    </row>
    <row r="40" spans="2:16" x14ac:dyDescent="0.3">
      <c r="B40" s="2" t="s">
        <v>2</v>
      </c>
      <c r="C40" s="2"/>
      <c r="D40" s="2"/>
      <c r="E40" s="2"/>
      <c r="F40" s="2"/>
      <c r="G40" s="2" t="s">
        <v>10</v>
      </c>
      <c r="H40" s="2"/>
      <c r="I40" s="2" t="s">
        <v>10</v>
      </c>
      <c r="J40" s="2"/>
      <c r="K40" s="2" t="s">
        <v>10</v>
      </c>
      <c r="L40" s="2"/>
      <c r="M40" s="2" t="s">
        <v>10</v>
      </c>
      <c r="N40" s="2"/>
      <c r="O40" s="2"/>
      <c r="P40" s="2">
        <f>COUNTIF(C40:O40,"Y")</f>
        <v>4</v>
      </c>
    </row>
    <row r="41" spans="2:16" x14ac:dyDescent="0.3">
      <c r="B41" s="2" t="s">
        <v>3</v>
      </c>
      <c r="C41" s="2" t="s">
        <v>10</v>
      </c>
      <c r="D41" s="2"/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f t="shared" ref="P41:P46" si="0">COUNTIF(C41:O41,"Y")</f>
        <v>2</v>
      </c>
    </row>
    <row r="42" spans="2:16" x14ac:dyDescent="0.3">
      <c r="B42" s="2" t="s">
        <v>4</v>
      </c>
      <c r="C42" s="2"/>
      <c r="D42" s="2" t="s">
        <v>10</v>
      </c>
      <c r="E42" s="2"/>
      <c r="F42" s="2" t="s">
        <v>10</v>
      </c>
      <c r="G42" s="2"/>
      <c r="H42" s="2"/>
      <c r="I42" s="2"/>
      <c r="J42" s="2" t="s">
        <v>10</v>
      </c>
      <c r="K42" s="2"/>
      <c r="L42" s="2"/>
      <c r="M42" s="2"/>
      <c r="N42" s="2"/>
      <c r="O42" s="2"/>
      <c r="P42" s="2">
        <f t="shared" si="0"/>
        <v>3</v>
      </c>
    </row>
    <row r="43" spans="2:16" x14ac:dyDescent="0.3">
      <c r="B43" s="2" t="s">
        <v>5</v>
      </c>
      <c r="C43" s="2" t="s">
        <v>10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f t="shared" si="0"/>
        <v>1</v>
      </c>
    </row>
    <row r="44" spans="2:16" x14ac:dyDescent="0.3">
      <c r="B44" s="2" t="s">
        <v>6</v>
      </c>
      <c r="C44" s="2"/>
      <c r="D44" s="2"/>
      <c r="E44" s="2" t="s">
        <v>10</v>
      </c>
      <c r="F44" s="2"/>
      <c r="G44" s="2"/>
      <c r="H44" s="2"/>
      <c r="I44" s="2" t="s">
        <v>10</v>
      </c>
      <c r="J44" s="2"/>
      <c r="K44" s="2"/>
      <c r="L44" s="2"/>
      <c r="M44" s="2"/>
      <c r="N44" s="2"/>
      <c r="O44" s="2"/>
      <c r="P44" s="2">
        <f t="shared" si="0"/>
        <v>2</v>
      </c>
    </row>
    <row r="45" spans="2:16" x14ac:dyDescent="0.3">
      <c r="B45" s="2" t="s">
        <v>7</v>
      </c>
      <c r="C45" s="2" t="s">
        <v>10</v>
      </c>
      <c r="D45" s="2"/>
      <c r="E45" s="2"/>
      <c r="F45" s="2" t="s">
        <v>10</v>
      </c>
      <c r="G45" s="2"/>
      <c r="H45" s="2"/>
      <c r="I45" s="2" t="s">
        <v>10</v>
      </c>
      <c r="J45" s="2"/>
      <c r="K45" s="2"/>
      <c r="L45" s="2" t="s">
        <v>10</v>
      </c>
      <c r="M45" s="2"/>
      <c r="N45" s="2" t="s">
        <v>10</v>
      </c>
      <c r="O45" s="2"/>
      <c r="P45" s="2">
        <f t="shared" si="0"/>
        <v>5</v>
      </c>
    </row>
    <row r="46" spans="2:16" x14ac:dyDescent="0.3">
      <c r="B46" s="2" t="s">
        <v>11</v>
      </c>
      <c r="C46" s="2" t="s">
        <v>10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/>
      <c r="J46" s="2"/>
      <c r="K46" s="2"/>
      <c r="L46" s="2"/>
      <c r="M46" s="2"/>
      <c r="N46" s="2"/>
      <c r="O46" s="2"/>
      <c r="P46" s="2">
        <f t="shared" si="0"/>
        <v>6</v>
      </c>
    </row>
    <row r="49" spans="2:16" x14ac:dyDescent="0.3">
      <c r="B49" s="10" t="s">
        <v>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2"/>
    </row>
    <row r="50" spans="2:16" x14ac:dyDescent="0.3">
      <c r="B50" s="1" t="s">
        <v>0</v>
      </c>
      <c r="C50" s="4">
        <v>45717</v>
      </c>
      <c r="D50" s="4">
        <v>45748</v>
      </c>
      <c r="E50" s="4">
        <v>45778</v>
      </c>
      <c r="F50" s="4">
        <v>45809</v>
      </c>
      <c r="G50" s="4">
        <v>45839</v>
      </c>
      <c r="H50" s="4">
        <v>45870</v>
      </c>
      <c r="I50" s="4">
        <v>45901</v>
      </c>
      <c r="J50" s="4">
        <v>45931</v>
      </c>
      <c r="K50" s="4">
        <v>45962</v>
      </c>
      <c r="L50" s="4">
        <v>45992</v>
      </c>
      <c r="M50" s="4">
        <v>46023</v>
      </c>
      <c r="N50" s="4">
        <v>46054</v>
      </c>
      <c r="O50" s="4">
        <v>46082</v>
      </c>
      <c r="P50" s="1" t="s">
        <v>9</v>
      </c>
    </row>
    <row r="51" spans="2:16" x14ac:dyDescent="0.3">
      <c r="B51" s="2" t="s">
        <v>2</v>
      </c>
      <c r="C51" s="2"/>
      <c r="D51" s="2"/>
      <c r="E51" s="2"/>
      <c r="F51" s="2"/>
      <c r="G51" s="2" t="s">
        <v>10</v>
      </c>
      <c r="H51" s="2"/>
      <c r="I51" s="2" t="s">
        <v>10</v>
      </c>
      <c r="J51" s="2"/>
      <c r="K51" s="2" t="s">
        <v>10</v>
      </c>
      <c r="L51" s="2"/>
      <c r="M51" s="2" t="s">
        <v>10</v>
      </c>
      <c r="N51" s="2"/>
      <c r="O51" s="2"/>
      <c r="P51" s="2">
        <f>COUNTIF(C51:O51,"Y")</f>
        <v>4</v>
      </c>
    </row>
    <row r="52" spans="2:16" x14ac:dyDescent="0.3">
      <c r="B52" s="2" t="s">
        <v>3</v>
      </c>
      <c r="C52" s="2" t="s">
        <v>10</v>
      </c>
      <c r="D52" s="2"/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f t="shared" ref="P52:P57" si="1">COUNTIF(C52:O52,"Y")</f>
        <v>2</v>
      </c>
    </row>
    <row r="53" spans="2:16" x14ac:dyDescent="0.3">
      <c r="B53" s="2" t="s">
        <v>4</v>
      </c>
      <c r="C53" s="2"/>
      <c r="D53" s="2" t="s">
        <v>10</v>
      </c>
      <c r="E53" s="2"/>
      <c r="F53" s="2" t="s">
        <v>10</v>
      </c>
      <c r="G53" s="2"/>
      <c r="H53" s="2"/>
      <c r="I53" s="2"/>
      <c r="J53" s="2" t="s">
        <v>10</v>
      </c>
      <c r="K53" s="2"/>
      <c r="L53" s="2"/>
      <c r="M53" s="2"/>
      <c r="N53" s="2"/>
      <c r="O53" s="2"/>
      <c r="P53" s="2">
        <f t="shared" si="1"/>
        <v>3</v>
      </c>
    </row>
    <row r="54" spans="2:16" x14ac:dyDescent="0.3">
      <c r="B54" s="2" t="s">
        <v>5</v>
      </c>
      <c r="C54" s="2" t="s">
        <v>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f t="shared" si="1"/>
        <v>1</v>
      </c>
    </row>
    <row r="55" spans="2:16" x14ac:dyDescent="0.3">
      <c r="B55" s="2" t="s">
        <v>6</v>
      </c>
      <c r="C55" s="2"/>
      <c r="D55" s="2"/>
      <c r="E55" s="2" t="s">
        <v>10</v>
      </c>
      <c r="F55" s="2"/>
      <c r="G55" s="2"/>
      <c r="H55" s="2"/>
      <c r="I55" s="2" t="s">
        <v>10</v>
      </c>
      <c r="J55" s="2"/>
      <c r="K55" s="2"/>
      <c r="L55" s="2"/>
      <c r="M55" s="2"/>
      <c r="N55" s="2"/>
      <c r="O55" s="2"/>
      <c r="P55" s="2">
        <f t="shared" si="1"/>
        <v>2</v>
      </c>
    </row>
    <row r="56" spans="2:16" x14ac:dyDescent="0.3">
      <c r="B56" s="2" t="s">
        <v>7</v>
      </c>
      <c r="C56" s="2" t="s">
        <v>10</v>
      </c>
      <c r="D56" s="2"/>
      <c r="E56" s="2"/>
      <c r="F56" s="2" t="s">
        <v>10</v>
      </c>
      <c r="G56" s="2"/>
      <c r="H56" s="2"/>
      <c r="I56" s="2" t="s">
        <v>10</v>
      </c>
      <c r="J56" s="2"/>
      <c r="K56" s="2"/>
      <c r="L56" s="2" t="s">
        <v>10</v>
      </c>
      <c r="M56" s="2"/>
      <c r="N56" s="2" t="s">
        <v>10</v>
      </c>
      <c r="O56" s="2"/>
      <c r="P56" s="2">
        <f t="shared" si="1"/>
        <v>5</v>
      </c>
    </row>
    <row r="57" spans="2:16" x14ac:dyDescent="0.3">
      <c r="B57" s="2" t="s">
        <v>11</v>
      </c>
      <c r="C57" s="2" t="s">
        <v>10</v>
      </c>
      <c r="D57" s="2" t="s">
        <v>10</v>
      </c>
      <c r="E57" s="2" t="s">
        <v>10</v>
      </c>
      <c r="F57" s="2" t="s">
        <v>10</v>
      </c>
      <c r="G57" s="2" t="s">
        <v>10</v>
      </c>
      <c r="H57" s="2" t="s">
        <v>10</v>
      </c>
      <c r="I57" s="2"/>
      <c r="J57" s="2"/>
      <c r="K57" s="2"/>
      <c r="L57" s="2"/>
      <c r="M57" s="2"/>
      <c r="N57" s="2"/>
      <c r="O57" s="2"/>
      <c r="P57" s="2">
        <f t="shared" si="1"/>
        <v>6</v>
      </c>
    </row>
    <row r="60" spans="2:16" x14ac:dyDescent="0.3">
      <c r="B60" s="11" t="s">
        <v>13</v>
      </c>
      <c r="C60" s="11"/>
      <c r="D60" s="11"/>
      <c r="E60" s="11"/>
      <c r="F60" s="11"/>
    </row>
    <row r="61" spans="2:16" x14ac:dyDescent="0.3">
      <c r="B61" s="5" t="s">
        <v>0</v>
      </c>
      <c r="C61" s="5" t="s">
        <v>14</v>
      </c>
      <c r="D61" s="5" t="s">
        <v>15</v>
      </c>
      <c r="E61" s="5" t="s">
        <v>16</v>
      </c>
      <c r="F61" s="5" t="s">
        <v>21</v>
      </c>
    </row>
    <row r="62" spans="2:16" x14ac:dyDescent="0.3">
      <c r="B62" s="2" t="s">
        <v>2</v>
      </c>
      <c r="C62" s="2" t="s">
        <v>17</v>
      </c>
      <c r="D62" s="2" t="s">
        <v>17</v>
      </c>
      <c r="E62" s="2" t="s">
        <v>18</v>
      </c>
      <c r="F62" s="2"/>
    </row>
    <row r="63" spans="2:16" x14ac:dyDescent="0.3">
      <c r="B63" s="2" t="s">
        <v>3</v>
      </c>
      <c r="C63" s="2" t="s">
        <v>22</v>
      </c>
      <c r="D63" s="2" t="s">
        <v>22</v>
      </c>
      <c r="E63" s="2" t="s">
        <v>19</v>
      </c>
      <c r="F63" s="2"/>
    </row>
    <row r="64" spans="2:16" x14ac:dyDescent="0.3">
      <c r="B64" s="2" t="s">
        <v>4</v>
      </c>
      <c r="C64" s="2" t="s">
        <v>23</v>
      </c>
      <c r="D64" s="2" t="s">
        <v>23</v>
      </c>
      <c r="E64" s="2" t="s">
        <v>20</v>
      </c>
      <c r="F64" s="2"/>
    </row>
    <row r="65" spans="2:6" x14ac:dyDescent="0.3">
      <c r="B65" s="2" t="s">
        <v>5</v>
      </c>
      <c r="C65" s="2" t="s">
        <v>24</v>
      </c>
      <c r="D65" s="2" t="s">
        <v>24</v>
      </c>
      <c r="E65" s="2" t="s">
        <v>18</v>
      </c>
      <c r="F65" s="2"/>
    </row>
    <row r="66" spans="2:6" x14ac:dyDescent="0.3">
      <c r="B66" s="2" t="s">
        <v>6</v>
      </c>
      <c r="C66" s="2" t="s">
        <v>25</v>
      </c>
      <c r="D66" s="2" t="s">
        <v>25</v>
      </c>
      <c r="E66" s="2" t="s">
        <v>19</v>
      </c>
      <c r="F66" s="2"/>
    </row>
    <row r="67" spans="2:6" x14ac:dyDescent="0.3">
      <c r="B67" s="2" t="s">
        <v>7</v>
      </c>
      <c r="C67" s="2" t="s">
        <v>26</v>
      </c>
      <c r="D67" s="2" t="s">
        <v>26</v>
      </c>
      <c r="E67" s="2" t="s">
        <v>20</v>
      </c>
      <c r="F67" s="2"/>
    </row>
  </sheetData>
  <mergeCells count="7">
    <mergeCell ref="B11:C11"/>
    <mergeCell ref="B2:C2"/>
    <mergeCell ref="B38:O38"/>
    <mergeCell ref="B49:O49"/>
    <mergeCell ref="B60:F60"/>
    <mergeCell ref="B20:C20"/>
    <mergeCell ref="B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DD1E-DFDC-465C-81B4-79409F838DF5}">
  <dimension ref="B1:K60"/>
  <sheetViews>
    <sheetView workbookViewId="0"/>
  </sheetViews>
  <sheetFormatPr defaultRowHeight="14.4" x14ac:dyDescent="0.3"/>
  <sheetData>
    <row r="1" spans="2:11" x14ac:dyDescent="0.3">
      <c r="B1" t="s">
        <v>27</v>
      </c>
    </row>
    <row r="2" spans="2:11" x14ac:dyDescent="0.3">
      <c r="C2" s="6" t="s">
        <v>4</v>
      </c>
      <c r="D2" s="6" t="s">
        <v>5</v>
      </c>
      <c r="E2" s="6" t="s">
        <v>6</v>
      </c>
      <c r="F2" s="6" t="s">
        <v>29</v>
      </c>
      <c r="G2" s="6" t="s">
        <v>7</v>
      </c>
      <c r="H2" s="6" t="s">
        <v>30</v>
      </c>
      <c r="I2" s="6" t="s">
        <v>31</v>
      </c>
      <c r="J2" s="6" t="s">
        <v>32</v>
      </c>
      <c r="K2" s="6" t="s">
        <v>33</v>
      </c>
    </row>
    <row r="3" spans="2:11" x14ac:dyDescent="0.3">
      <c r="B3" s="7">
        <v>45717</v>
      </c>
      <c r="C3" s="2">
        <v>1451</v>
      </c>
      <c r="D3" s="2">
        <v>1253</v>
      </c>
      <c r="E3" s="2">
        <v>1583</v>
      </c>
      <c r="F3" s="2">
        <v>1812</v>
      </c>
      <c r="G3" s="2">
        <v>1500</v>
      </c>
      <c r="H3" s="2">
        <v>1897</v>
      </c>
      <c r="I3" s="2">
        <v>1502</v>
      </c>
      <c r="J3" s="2">
        <v>1680</v>
      </c>
      <c r="K3" s="2">
        <v>1732</v>
      </c>
    </row>
    <row r="4" spans="2:11" x14ac:dyDescent="0.3">
      <c r="B4" s="7">
        <v>45748</v>
      </c>
      <c r="C4" s="2">
        <v>1230</v>
      </c>
      <c r="D4" s="2">
        <v>1662</v>
      </c>
      <c r="E4" s="2">
        <v>1589</v>
      </c>
      <c r="F4" s="2">
        <v>1921</v>
      </c>
      <c r="G4" s="2">
        <v>1824</v>
      </c>
      <c r="H4" s="2">
        <v>1442</v>
      </c>
      <c r="I4" s="2">
        <v>1909</v>
      </c>
      <c r="J4" s="2">
        <v>1680</v>
      </c>
      <c r="K4" s="2">
        <v>1287</v>
      </c>
    </row>
    <row r="5" spans="2:11" x14ac:dyDescent="0.3">
      <c r="B5" s="7">
        <v>45778</v>
      </c>
      <c r="C5" s="2">
        <v>1775</v>
      </c>
      <c r="D5" s="2">
        <v>1203</v>
      </c>
      <c r="E5" s="2">
        <v>1487</v>
      </c>
      <c r="F5" s="2">
        <v>1168</v>
      </c>
      <c r="G5" s="2">
        <v>1404</v>
      </c>
      <c r="H5" s="2">
        <v>1764</v>
      </c>
      <c r="I5" s="2">
        <v>1902</v>
      </c>
      <c r="J5" s="2">
        <v>1974</v>
      </c>
      <c r="K5" s="2">
        <v>1677</v>
      </c>
    </row>
    <row r="6" spans="2:11" x14ac:dyDescent="0.3">
      <c r="B6" s="7">
        <v>45809</v>
      </c>
      <c r="C6" s="2">
        <v>1685</v>
      </c>
      <c r="D6" s="2">
        <v>1990</v>
      </c>
      <c r="E6" s="2">
        <v>1706</v>
      </c>
      <c r="F6" s="2">
        <v>1990</v>
      </c>
      <c r="G6" s="2">
        <v>1252</v>
      </c>
      <c r="H6" s="2">
        <v>1496</v>
      </c>
      <c r="I6" s="2">
        <v>1260</v>
      </c>
      <c r="J6" s="2">
        <v>1382</v>
      </c>
      <c r="K6" s="2">
        <v>1612</v>
      </c>
    </row>
    <row r="7" spans="2:11" x14ac:dyDescent="0.3">
      <c r="B7" s="7">
        <v>45839</v>
      </c>
      <c r="C7" s="2">
        <v>1132</v>
      </c>
      <c r="D7" s="2">
        <v>1491</v>
      </c>
      <c r="E7" s="2">
        <v>1058</v>
      </c>
      <c r="F7" s="2">
        <v>1189</v>
      </c>
      <c r="G7" s="2">
        <v>1412</v>
      </c>
      <c r="H7" s="2">
        <v>1304</v>
      </c>
      <c r="I7" s="2">
        <v>1135</v>
      </c>
      <c r="J7" s="2">
        <v>1257</v>
      </c>
      <c r="K7" s="2">
        <v>1071</v>
      </c>
    </row>
    <row r="8" spans="2:11" x14ac:dyDescent="0.3">
      <c r="B8" s="7">
        <v>45870</v>
      </c>
      <c r="C8" s="2">
        <v>1470</v>
      </c>
      <c r="D8" s="2">
        <v>1952</v>
      </c>
      <c r="E8" s="2">
        <v>1431</v>
      </c>
      <c r="F8" s="2">
        <v>1451</v>
      </c>
      <c r="G8" s="2">
        <v>1464</v>
      </c>
      <c r="H8" s="2">
        <v>1942</v>
      </c>
      <c r="I8" s="2">
        <v>1123</v>
      </c>
      <c r="J8" s="2">
        <v>1648</v>
      </c>
      <c r="K8" s="2">
        <v>1301</v>
      </c>
    </row>
    <row r="9" spans="2:11" x14ac:dyDescent="0.3">
      <c r="B9" s="7">
        <v>45901</v>
      </c>
      <c r="C9" s="2">
        <v>1050</v>
      </c>
      <c r="D9" s="2">
        <v>1362</v>
      </c>
      <c r="E9" s="2">
        <v>1894</v>
      </c>
      <c r="F9" s="2">
        <v>1461</v>
      </c>
      <c r="G9" s="2">
        <v>1790</v>
      </c>
      <c r="H9" s="2">
        <v>1138</v>
      </c>
      <c r="I9" s="2">
        <v>1994</v>
      </c>
      <c r="J9" s="2">
        <v>1822</v>
      </c>
      <c r="K9" s="2">
        <v>1157</v>
      </c>
    </row>
    <row r="10" spans="2:11" x14ac:dyDescent="0.3">
      <c r="B10" s="7">
        <v>45931</v>
      </c>
      <c r="C10" s="2">
        <v>1877</v>
      </c>
      <c r="D10" s="2">
        <v>1024</v>
      </c>
      <c r="E10" s="2">
        <v>1202</v>
      </c>
      <c r="F10" s="2">
        <v>1512</v>
      </c>
      <c r="G10" s="2">
        <v>1273</v>
      </c>
      <c r="H10" s="2">
        <v>1214</v>
      </c>
      <c r="I10" s="2">
        <v>1604</v>
      </c>
      <c r="J10" s="2">
        <v>1706</v>
      </c>
      <c r="K10" s="2">
        <v>1154</v>
      </c>
    </row>
    <row r="11" spans="2:11" x14ac:dyDescent="0.3">
      <c r="B11" s="7">
        <v>45962</v>
      </c>
      <c r="C11" s="2">
        <v>1711</v>
      </c>
      <c r="D11" s="2">
        <v>1342</v>
      </c>
      <c r="E11" s="2">
        <v>1598</v>
      </c>
      <c r="F11" s="2">
        <v>1616</v>
      </c>
      <c r="G11" s="2">
        <v>1788</v>
      </c>
      <c r="H11" s="2">
        <v>1327</v>
      </c>
      <c r="I11" s="2">
        <v>1759</v>
      </c>
      <c r="J11" s="2">
        <v>1751</v>
      </c>
      <c r="K11" s="2">
        <v>1378</v>
      </c>
    </row>
    <row r="12" spans="2:11" x14ac:dyDescent="0.3">
      <c r="B12" s="7">
        <v>45992</v>
      </c>
      <c r="C12" s="2">
        <v>1187</v>
      </c>
      <c r="D12" s="2">
        <v>1438</v>
      </c>
      <c r="E12" s="2">
        <v>1117</v>
      </c>
      <c r="F12" s="2">
        <v>1576</v>
      </c>
      <c r="G12" s="2">
        <v>1222</v>
      </c>
      <c r="H12" s="2">
        <v>1337</v>
      </c>
      <c r="I12" s="2">
        <v>1104</v>
      </c>
      <c r="J12" s="2">
        <v>1226</v>
      </c>
      <c r="K12" s="2">
        <v>1727</v>
      </c>
    </row>
    <row r="13" spans="2:11" x14ac:dyDescent="0.3">
      <c r="B13" s="7">
        <v>46023</v>
      </c>
      <c r="C13" s="2">
        <v>1834</v>
      </c>
      <c r="D13" s="2">
        <v>1093</v>
      </c>
      <c r="E13" s="2">
        <v>1862</v>
      </c>
      <c r="F13" s="2">
        <v>1647</v>
      </c>
      <c r="G13" s="2">
        <v>1790</v>
      </c>
      <c r="H13" s="2">
        <v>1552</v>
      </c>
      <c r="I13" s="2">
        <v>1425</v>
      </c>
      <c r="J13" s="2">
        <v>1366</v>
      </c>
      <c r="K13" s="2">
        <v>1612</v>
      </c>
    </row>
    <row r="14" spans="2:11" x14ac:dyDescent="0.3">
      <c r="B14" s="7">
        <v>46054</v>
      </c>
      <c r="C14" s="2">
        <v>1668</v>
      </c>
      <c r="D14" s="2">
        <v>1083</v>
      </c>
      <c r="E14" s="2">
        <v>1415</v>
      </c>
      <c r="F14" s="2">
        <v>1470</v>
      </c>
      <c r="G14" s="2">
        <v>1070</v>
      </c>
      <c r="H14" s="2">
        <v>1666</v>
      </c>
      <c r="I14" s="2">
        <v>1616</v>
      </c>
      <c r="J14" s="2">
        <v>1136</v>
      </c>
      <c r="K14" s="2">
        <v>1200</v>
      </c>
    </row>
    <row r="15" spans="2:11" x14ac:dyDescent="0.3">
      <c r="B15" s="7">
        <v>46082</v>
      </c>
      <c r="C15" s="2">
        <v>1486</v>
      </c>
      <c r="D15" s="2">
        <v>1237</v>
      </c>
      <c r="E15" s="2">
        <v>1450</v>
      </c>
      <c r="F15" s="2">
        <v>1589</v>
      </c>
      <c r="G15" s="2">
        <v>1537</v>
      </c>
      <c r="H15" s="2">
        <v>1729</v>
      </c>
      <c r="I15" s="2">
        <v>1422</v>
      </c>
      <c r="J15" s="2">
        <v>1621</v>
      </c>
      <c r="K15" s="2">
        <v>1453</v>
      </c>
    </row>
    <row r="17" spans="2:11" x14ac:dyDescent="0.3">
      <c r="B17" t="s">
        <v>28</v>
      </c>
      <c r="C17">
        <f t="shared" ref="C17:K17" si="0">C15/C3-1</f>
        <v>2.4121295658166675E-2</v>
      </c>
      <c r="D17">
        <f t="shared" si="0"/>
        <v>-1.2769353551476459E-2</v>
      </c>
      <c r="E17">
        <f t="shared" si="0"/>
        <v>-8.4017687934301977E-2</v>
      </c>
      <c r="F17">
        <f t="shared" si="0"/>
        <v>-0.1230684326710817</v>
      </c>
      <c r="G17">
        <f t="shared" si="0"/>
        <v>2.4666666666666615E-2</v>
      </c>
      <c r="H17">
        <f t="shared" si="0"/>
        <v>-8.856088560885611E-2</v>
      </c>
      <c r="I17">
        <f t="shared" si="0"/>
        <v>-5.3262316910785645E-2</v>
      </c>
      <c r="J17">
        <f t="shared" si="0"/>
        <v>-3.5119047619047605E-2</v>
      </c>
      <c r="K17">
        <f t="shared" si="0"/>
        <v>-0.1610854503464203</v>
      </c>
    </row>
    <row r="20" spans="2:11" x14ac:dyDescent="0.3">
      <c r="B20" t="s">
        <v>34</v>
      </c>
    </row>
    <row r="21" spans="2:11" x14ac:dyDescent="0.3">
      <c r="C21" s="6" t="s">
        <v>4</v>
      </c>
      <c r="D21" s="6" t="s">
        <v>5</v>
      </c>
      <c r="E21" s="6" t="s">
        <v>6</v>
      </c>
      <c r="F21" s="6" t="s">
        <v>29</v>
      </c>
      <c r="G21" s="6" t="s">
        <v>7</v>
      </c>
      <c r="H21" s="6" t="s">
        <v>30</v>
      </c>
      <c r="I21" s="6" t="s">
        <v>31</v>
      </c>
      <c r="J21" s="6" t="s">
        <v>32</v>
      </c>
      <c r="K21" s="6" t="s">
        <v>33</v>
      </c>
    </row>
    <row r="22" spans="2:11" x14ac:dyDescent="0.3">
      <c r="B22" s="3">
        <v>45017</v>
      </c>
      <c r="C22" s="2">
        <v>14.284886690751495</v>
      </c>
      <c r="D22" s="2">
        <v>12.948236169706719</v>
      </c>
      <c r="E22" s="2">
        <v>1.8630459833052617</v>
      </c>
      <c r="F22" s="2">
        <v>14.368486469270866</v>
      </c>
      <c r="G22" s="2">
        <v>8.1297152937897721</v>
      </c>
      <c r="H22" s="2">
        <v>8.9148465300323565</v>
      </c>
      <c r="I22" s="2">
        <v>11.164919221408718</v>
      </c>
      <c r="J22" s="2">
        <v>13.14212640203959</v>
      </c>
      <c r="K22" s="2">
        <v>10.141456696162985</v>
      </c>
    </row>
    <row r="23" spans="2:11" x14ac:dyDescent="0.3">
      <c r="B23" s="3">
        <v>45047</v>
      </c>
      <c r="C23" s="2">
        <v>1.3183734548036248</v>
      </c>
      <c r="D23" s="2">
        <v>20.206929025669638</v>
      </c>
      <c r="E23" s="2">
        <v>8.2016654980811214</v>
      </c>
      <c r="F23" s="2">
        <v>17.752157373949185</v>
      </c>
      <c r="G23" s="2">
        <v>2.0983819806030128</v>
      </c>
      <c r="H23" s="2">
        <v>19.430775574990015</v>
      </c>
      <c r="I23" s="2">
        <v>15.52313489799964</v>
      </c>
      <c r="J23" s="2">
        <v>13.246490622244211</v>
      </c>
      <c r="K23" s="2">
        <v>3.5128901057012754</v>
      </c>
    </row>
    <row r="24" spans="2:11" x14ac:dyDescent="0.3">
      <c r="B24" s="3">
        <v>45078</v>
      </c>
      <c r="C24" s="2">
        <v>1.6882327108674586</v>
      </c>
      <c r="D24" s="2">
        <v>17.687694363160379</v>
      </c>
      <c r="E24" s="2">
        <v>11.672647266413902</v>
      </c>
      <c r="F24" s="2">
        <v>3.7533225354056641</v>
      </c>
      <c r="G24" s="2">
        <v>8.5487584579333511</v>
      </c>
      <c r="H24" s="2">
        <v>20.226472066910077</v>
      </c>
      <c r="I24" s="2">
        <v>11.792794062450939</v>
      </c>
      <c r="J24" s="2">
        <v>5.5600590384569673</v>
      </c>
      <c r="K24" s="2">
        <v>17.174304929266402</v>
      </c>
    </row>
    <row r="25" spans="2:11" x14ac:dyDescent="0.3">
      <c r="B25" s="3">
        <v>45108</v>
      </c>
      <c r="C25" s="2">
        <v>7.677099463471615</v>
      </c>
      <c r="D25" s="2">
        <v>13.930018861398963</v>
      </c>
      <c r="E25" s="2">
        <v>20.818785782535816</v>
      </c>
      <c r="F25" s="2">
        <v>14.241353245363678</v>
      </c>
      <c r="G25" s="2">
        <v>7.5834096954862416</v>
      </c>
      <c r="H25" s="2">
        <v>16.217557836335825</v>
      </c>
      <c r="I25" s="2">
        <v>11.983764522689368</v>
      </c>
      <c r="J25" s="2">
        <v>19.629442035784066</v>
      </c>
      <c r="K25" s="2">
        <v>7.8922146904052806</v>
      </c>
    </row>
    <row r="26" spans="2:11" x14ac:dyDescent="0.3">
      <c r="B26" s="3">
        <v>45139</v>
      </c>
      <c r="C26" s="2">
        <v>20.998303811064776</v>
      </c>
      <c r="D26" s="2">
        <v>1.2471046763567912</v>
      </c>
      <c r="E26" s="2">
        <v>4.0329723116853433</v>
      </c>
      <c r="F26" s="2">
        <v>11.742218116803</v>
      </c>
      <c r="G26" s="2">
        <v>4.601149621020145</v>
      </c>
      <c r="H26" s="2">
        <v>1.5069373458967892</v>
      </c>
      <c r="I26" s="2">
        <v>19.443327834647377</v>
      </c>
      <c r="J26" s="2">
        <v>7.0234999623377297</v>
      </c>
      <c r="K26" s="2">
        <v>14.431549989520116</v>
      </c>
    </row>
    <row r="27" spans="2:11" x14ac:dyDescent="0.3">
      <c r="B27" s="3">
        <v>45170</v>
      </c>
      <c r="C27" s="2">
        <v>11.048282642538981</v>
      </c>
      <c r="D27" s="2">
        <v>5.4072478112942939</v>
      </c>
      <c r="E27" s="2">
        <v>2.7609681820897616</v>
      </c>
      <c r="F27" s="2">
        <v>13.952451351630943</v>
      </c>
      <c r="G27" s="2">
        <v>20.251943551003219</v>
      </c>
      <c r="H27" s="2">
        <v>16.656355332224869</v>
      </c>
      <c r="I27" s="2">
        <v>12.146777373895581</v>
      </c>
      <c r="J27" s="2">
        <v>9.5557367390143853</v>
      </c>
      <c r="K27" s="2">
        <v>5.8490809954007421</v>
      </c>
    </row>
    <row r="28" spans="2:11" x14ac:dyDescent="0.3">
      <c r="B28" s="3">
        <v>45200</v>
      </c>
      <c r="C28" s="2">
        <v>20.528016558880875</v>
      </c>
      <c r="D28" s="2">
        <v>7.2597049324577627</v>
      </c>
      <c r="E28" s="2">
        <v>7.1257570369163732</v>
      </c>
      <c r="F28" s="2">
        <v>7.9524934125953983</v>
      </c>
      <c r="G28" s="2">
        <v>20.321302818613788</v>
      </c>
      <c r="H28" s="2">
        <v>6.3965772787597874</v>
      </c>
      <c r="I28" s="2">
        <v>15.893661477214973</v>
      </c>
      <c r="J28" s="2">
        <v>17.375452991294928</v>
      </c>
      <c r="K28" s="2">
        <v>10.780780157240665</v>
      </c>
    </row>
    <row r="29" spans="2:11" x14ac:dyDescent="0.3">
      <c r="B29" s="3">
        <v>45231</v>
      </c>
      <c r="C29" s="2">
        <v>9.3141267202284794</v>
      </c>
      <c r="D29" s="2">
        <v>9.6645264414216996</v>
      </c>
      <c r="E29" s="2">
        <v>11.396262006155689</v>
      </c>
      <c r="F29" s="2">
        <v>20.544878546704574</v>
      </c>
      <c r="G29" s="2">
        <v>5.9150072722287366</v>
      </c>
      <c r="H29" s="2">
        <v>18.448187837522759</v>
      </c>
      <c r="I29" s="2">
        <v>20.91805781771226</v>
      </c>
      <c r="J29" s="2">
        <v>14.236667431432721</v>
      </c>
      <c r="K29" s="2">
        <v>10.847984180047726</v>
      </c>
    </row>
    <row r="30" spans="2:11" x14ac:dyDescent="0.3">
      <c r="B30" s="3">
        <v>45261</v>
      </c>
      <c r="C30" s="2">
        <v>12.639444320917748</v>
      </c>
      <c r="D30" s="2">
        <v>18.22953029088599</v>
      </c>
      <c r="E30" s="2">
        <v>11.851836243250734</v>
      </c>
      <c r="F30" s="2">
        <v>14.7776490843974</v>
      </c>
      <c r="G30" s="2">
        <v>11.407563294114514</v>
      </c>
      <c r="H30" s="2">
        <v>10.058629373751563</v>
      </c>
      <c r="I30" s="2">
        <v>17.192281380564747</v>
      </c>
      <c r="J30" s="2">
        <v>2.6102865259699826</v>
      </c>
      <c r="K30" s="2">
        <v>9.024570489162846</v>
      </c>
    </row>
    <row r="31" spans="2:11" x14ac:dyDescent="0.3">
      <c r="B31" s="3">
        <v>45292</v>
      </c>
      <c r="C31" s="2">
        <v>12.455273975318359</v>
      </c>
      <c r="D31" s="2">
        <v>3.39836065651106</v>
      </c>
      <c r="E31" s="2">
        <v>19.406712889466561</v>
      </c>
      <c r="F31" s="2">
        <v>5.1383501983288342</v>
      </c>
      <c r="G31" s="2">
        <v>2.7254668365291943</v>
      </c>
      <c r="H31" s="2">
        <v>7.580597938469821</v>
      </c>
      <c r="I31" s="2">
        <v>7.4202521303214288</v>
      </c>
      <c r="J31" s="2">
        <v>1.0154749085115837</v>
      </c>
      <c r="K31" s="2">
        <v>13.701381878549812</v>
      </c>
    </row>
    <row r="32" spans="2:11" x14ac:dyDescent="0.3">
      <c r="B32" s="3">
        <v>45323</v>
      </c>
      <c r="C32" s="2">
        <v>20.340312765502436</v>
      </c>
      <c r="D32" s="2">
        <v>3.9081382476843323</v>
      </c>
      <c r="E32" s="2">
        <v>18.459807421486911</v>
      </c>
      <c r="F32" s="2">
        <v>3.8153542208532203</v>
      </c>
      <c r="G32" s="2">
        <v>9.7410089446631982</v>
      </c>
      <c r="H32" s="2">
        <v>7.5249910038639918</v>
      </c>
      <c r="I32" s="2">
        <v>3.5746383224945868</v>
      </c>
      <c r="J32" s="2">
        <v>20.308625731387369</v>
      </c>
      <c r="K32" s="2">
        <v>16.237157581073362</v>
      </c>
    </row>
    <row r="33" spans="2:11" x14ac:dyDescent="0.3">
      <c r="B33" s="3">
        <v>45352</v>
      </c>
      <c r="C33" s="2">
        <v>16.731412145449593</v>
      </c>
      <c r="D33" s="2">
        <v>1.7340989023847042</v>
      </c>
      <c r="E33" s="2">
        <v>3.8336387881034755</v>
      </c>
      <c r="F33" s="2">
        <v>9.9859390642919177</v>
      </c>
      <c r="G33" s="2">
        <v>3.4208129515347938</v>
      </c>
      <c r="H33" s="2">
        <v>7.3729371830742965</v>
      </c>
      <c r="I33" s="2">
        <v>18.115631710140068</v>
      </c>
      <c r="J33" s="2">
        <v>12.169709950890613</v>
      </c>
      <c r="K33" s="2">
        <v>7.2040229059740239</v>
      </c>
    </row>
    <row r="34" spans="2:11" x14ac:dyDescent="0.3">
      <c r="B34" s="3">
        <v>45383</v>
      </c>
      <c r="C34" s="2">
        <v>13.231585004399756</v>
      </c>
      <c r="D34" s="2">
        <v>8.5906739653102537</v>
      </c>
      <c r="E34" s="2">
        <v>4.4439638808074573</v>
      </c>
      <c r="F34" s="2">
        <v>1.8840082058781236</v>
      </c>
      <c r="G34" s="2">
        <v>11.510075463441749</v>
      </c>
      <c r="H34" s="2">
        <v>8.1093903193670656</v>
      </c>
      <c r="I34" s="2">
        <v>5.8384642419958386</v>
      </c>
      <c r="J34" s="2">
        <v>15.358286349768926</v>
      </c>
      <c r="K34" s="2">
        <v>1.1955099382119774</v>
      </c>
    </row>
    <row r="35" spans="2:11" x14ac:dyDescent="0.3">
      <c r="B35" s="3">
        <v>45413</v>
      </c>
      <c r="C35" s="2">
        <v>2.8038874199353749</v>
      </c>
      <c r="D35" s="2">
        <v>2.3532104747741469</v>
      </c>
      <c r="E35" s="2">
        <v>2.8449241534443868</v>
      </c>
      <c r="F35" s="2">
        <v>20.364436323727908</v>
      </c>
      <c r="G35" s="2">
        <v>18.51373489935035</v>
      </c>
      <c r="H35" s="2">
        <v>6.946129725044166</v>
      </c>
      <c r="I35" s="2">
        <v>11.812477999024347</v>
      </c>
      <c r="J35" s="2">
        <v>3.1357547977734876</v>
      </c>
      <c r="K35" s="2">
        <v>14.942693261752696</v>
      </c>
    </row>
    <row r="36" spans="2:11" x14ac:dyDescent="0.3">
      <c r="B36" s="3">
        <v>45444</v>
      </c>
      <c r="C36" s="2">
        <v>16.672452912194064</v>
      </c>
      <c r="D36" s="2">
        <v>1.439916349254285</v>
      </c>
      <c r="E36" s="2">
        <v>17.835578399157054</v>
      </c>
      <c r="F36" s="2">
        <v>4.9070181480885635</v>
      </c>
      <c r="G36" s="2">
        <v>12.544971140988054</v>
      </c>
      <c r="H36" s="2">
        <v>10.821750643880851</v>
      </c>
      <c r="I36" s="2">
        <v>15.394240500192153</v>
      </c>
      <c r="J36" s="2">
        <v>14.726358756731379</v>
      </c>
      <c r="K36" s="2">
        <v>11.910673028653566</v>
      </c>
    </row>
    <row r="37" spans="2:11" x14ac:dyDescent="0.3">
      <c r="B37" s="3">
        <v>45474</v>
      </c>
      <c r="C37" s="2">
        <v>5.4467614186351971</v>
      </c>
      <c r="D37" s="2">
        <v>17.712876974361642</v>
      </c>
      <c r="E37" s="2">
        <v>4.0192512202610802</v>
      </c>
      <c r="F37" s="2">
        <v>12.664502474051027</v>
      </c>
      <c r="G37" s="2">
        <v>4.8290751299396879</v>
      </c>
      <c r="H37" s="2">
        <v>18.219608622101518</v>
      </c>
      <c r="I37" s="2">
        <v>8.0487267562088665</v>
      </c>
      <c r="J37" s="2">
        <v>17.05296038069223</v>
      </c>
      <c r="K37" s="2">
        <v>7.5615618149562609</v>
      </c>
    </row>
    <row r="38" spans="2:11" x14ac:dyDescent="0.3">
      <c r="B38" s="3">
        <v>45505</v>
      </c>
      <c r="C38" s="2">
        <v>11.457713083028603</v>
      </c>
      <c r="D38" s="2">
        <v>2.8171130176846866</v>
      </c>
      <c r="E38" s="2">
        <v>9.2477739681360482</v>
      </c>
      <c r="F38" s="2">
        <v>1.0672352973859311</v>
      </c>
      <c r="G38" s="2">
        <v>14.60551691268612</v>
      </c>
      <c r="H38" s="2">
        <v>14.292867693393791</v>
      </c>
      <c r="I38" s="2">
        <v>3.5644967777448633</v>
      </c>
      <c r="J38" s="2">
        <v>16.282799056890244</v>
      </c>
      <c r="K38" s="2">
        <v>1.4021314130050702</v>
      </c>
    </row>
    <row r="39" spans="2:11" x14ac:dyDescent="0.3">
      <c r="B39" s="3">
        <v>45536</v>
      </c>
      <c r="C39" s="2">
        <v>2.0938533433495929</v>
      </c>
      <c r="D39" s="2">
        <v>20.267740973606958</v>
      </c>
      <c r="E39" s="2">
        <v>18.452805879801623</v>
      </c>
      <c r="F39" s="2">
        <v>18.59948405198276</v>
      </c>
      <c r="G39" s="2">
        <v>14.96430831709633</v>
      </c>
      <c r="H39" s="2">
        <v>5.427014740488505</v>
      </c>
      <c r="I39" s="2">
        <v>6.5478225972375892</v>
      </c>
      <c r="J39" s="2">
        <v>6.3921221128185701</v>
      </c>
      <c r="K39" s="2">
        <v>5.5357620086410186</v>
      </c>
    </row>
    <row r="40" spans="2:11" x14ac:dyDescent="0.3">
      <c r="B40" s="3">
        <v>45566</v>
      </c>
      <c r="C40" s="2">
        <v>14.745096094505342</v>
      </c>
      <c r="D40" s="2">
        <v>18.010773723104986</v>
      </c>
      <c r="E40" s="2">
        <v>4.1689932470504418</v>
      </c>
      <c r="F40" s="2">
        <v>14.511540109909603</v>
      </c>
      <c r="G40" s="2">
        <v>18.432751343780996</v>
      </c>
      <c r="H40" s="2">
        <v>11.811695025417547</v>
      </c>
      <c r="I40" s="2">
        <v>13.860518467067056</v>
      </c>
      <c r="J40" s="2">
        <v>16.261442323184269</v>
      </c>
      <c r="K40" s="2">
        <v>3.693595167869991</v>
      </c>
    </row>
    <row r="41" spans="2:11" x14ac:dyDescent="0.3">
      <c r="B41" s="3">
        <v>45597</v>
      </c>
      <c r="C41" s="2">
        <v>17.610554911174486</v>
      </c>
      <c r="D41" s="2">
        <v>19.210050112751571</v>
      </c>
      <c r="E41" s="2">
        <v>2.3771552611149884</v>
      </c>
      <c r="F41" s="2">
        <v>5.83218203478412</v>
      </c>
      <c r="G41" s="2">
        <v>3.9821682699737457</v>
      </c>
      <c r="H41" s="2">
        <v>19.019453759754402</v>
      </c>
      <c r="I41" s="2">
        <v>2.0715309759359259</v>
      </c>
      <c r="J41" s="2">
        <v>13.447471575765075</v>
      </c>
      <c r="K41" s="2">
        <v>12.606266431336811</v>
      </c>
    </row>
    <row r="42" spans="2:11" x14ac:dyDescent="0.3">
      <c r="B42" s="3">
        <v>45627</v>
      </c>
      <c r="C42" s="2">
        <v>14.42793357046464</v>
      </c>
      <c r="D42" s="2">
        <v>6.9799765794439192</v>
      </c>
      <c r="E42" s="2">
        <v>13.012574041448277</v>
      </c>
      <c r="F42" s="2">
        <v>18.879001241967046</v>
      </c>
      <c r="G42" s="2">
        <v>6.0538370105144832</v>
      </c>
      <c r="H42" s="2">
        <v>4.3978634236714109</v>
      </c>
      <c r="I42" s="2">
        <v>11.259396559724943</v>
      </c>
      <c r="J42" s="2">
        <v>10.474236846166594</v>
      </c>
      <c r="K42" s="2">
        <v>10.019830343622727</v>
      </c>
    </row>
    <row r="43" spans="2:11" x14ac:dyDescent="0.3">
      <c r="B43" s="3">
        <v>45658</v>
      </c>
      <c r="C43" s="2">
        <v>20.697572145559985</v>
      </c>
      <c r="D43" s="2">
        <v>18.45047298040101</v>
      </c>
      <c r="E43" s="2">
        <v>20.328508095326317</v>
      </c>
      <c r="F43" s="2">
        <v>16.966909706217972</v>
      </c>
      <c r="G43" s="2">
        <v>19.25351548550243</v>
      </c>
      <c r="H43" s="2">
        <v>9.5576608179621303</v>
      </c>
      <c r="I43" s="2">
        <v>8.403625502244175</v>
      </c>
      <c r="J43" s="2">
        <v>12.348888453310567</v>
      </c>
      <c r="K43" s="2">
        <v>4.8572445763070817</v>
      </c>
    </row>
    <row r="44" spans="2:11" x14ac:dyDescent="0.3">
      <c r="B44" s="3">
        <v>45689</v>
      </c>
      <c r="C44" s="2">
        <v>2.6556651912601552</v>
      </c>
      <c r="D44" s="2">
        <v>6.7573172902196523</v>
      </c>
      <c r="E44" s="2">
        <v>11.952204225428599</v>
      </c>
      <c r="F44" s="2">
        <v>5.2750008710993601</v>
      </c>
      <c r="G44" s="2">
        <v>7.7571449492143447</v>
      </c>
      <c r="H44" s="2">
        <v>10.465859486987533</v>
      </c>
      <c r="I44" s="2">
        <v>9.6166159420185551</v>
      </c>
      <c r="J44" s="2">
        <v>16.489205381599653</v>
      </c>
      <c r="K44" s="2">
        <v>12.053767673158472</v>
      </c>
    </row>
    <row r="45" spans="2:11" x14ac:dyDescent="0.3">
      <c r="B45" s="3">
        <v>45717</v>
      </c>
      <c r="C45" s="2">
        <v>8.0110360785369288</v>
      </c>
      <c r="D45" s="2">
        <v>5.9308025196468908</v>
      </c>
      <c r="E45" s="2">
        <v>14.096139315703729</v>
      </c>
      <c r="F45" s="2">
        <v>8.3417149459551521</v>
      </c>
      <c r="G45" s="2">
        <v>9.1880273218953334</v>
      </c>
      <c r="H45" s="2">
        <v>4.6636182273618223</v>
      </c>
      <c r="I45" s="2">
        <v>4.1113929193297301</v>
      </c>
      <c r="J45" s="2">
        <v>3.9794176170176012</v>
      </c>
      <c r="K45" s="2">
        <v>1.6715541785819779</v>
      </c>
    </row>
    <row r="46" spans="2:11" x14ac:dyDescent="0.3">
      <c r="B46" s="3">
        <v>45748</v>
      </c>
      <c r="C46" s="2">
        <v>16.997608434959012</v>
      </c>
      <c r="D46" s="2">
        <v>4.9957536648340524</v>
      </c>
      <c r="E46" s="2">
        <v>7.2198826895863908</v>
      </c>
      <c r="F46" s="2">
        <v>19.800262445790594</v>
      </c>
      <c r="G46" s="2">
        <v>8.1862938833483359</v>
      </c>
      <c r="H46" s="2">
        <v>17.004124944429353</v>
      </c>
      <c r="I46" s="2">
        <v>8.4763606982978104</v>
      </c>
      <c r="J46" s="2">
        <v>12.696911321281243</v>
      </c>
      <c r="K46" s="2">
        <v>2.2797392295515526</v>
      </c>
    </row>
    <row r="47" spans="2:11" x14ac:dyDescent="0.3">
      <c r="B47" s="3">
        <v>45778</v>
      </c>
      <c r="C47" s="2">
        <v>10.545716365752268</v>
      </c>
      <c r="D47" s="2">
        <v>6.6823451087372412</v>
      </c>
      <c r="E47" s="2">
        <v>6.7789831036083212</v>
      </c>
      <c r="F47" s="2">
        <v>5.5559982545806523</v>
      </c>
      <c r="G47" s="2">
        <v>19.665385645360121</v>
      </c>
      <c r="H47" s="2">
        <v>20.874867255592076</v>
      </c>
      <c r="I47" s="2">
        <v>17.819155588440296</v>
      </c>
      <c r="J47" s="2">
        <v>9.6608167907630911</v>
      </c>
      <c r="K47" s="2">
        <v>9.8314121876233056</v>
      </c>
    </row>
    <row r="48" spans="2:11" x14ac:dyDescent="0.3">
      <c r="B48" s="3">
        <v>45809</v>
      </c>
      <c r="C48" s="2">
        <v>6.9102223290029769</v>
      </c>
      <c r="D48" s="2">
        <v>19.20021492455632</v>
      </c>
      <c r="E48" s="2">
        <v>17.013263541947037</v>
      </c>
      <c r="F48" s="2">
        <v>1.3046167060451639</v>
      </c>
      <c r="G48" s="2">
        <v>13.56657953401764</v>
      </c>
      <c r="H48" s="2">
        <v>2.2011665516845196</v>
      </c>
      <c r="I48" s="2">
        <v>7.2011985896132886</v>
      </c>
      <c r="J48" s="2">
        <v>4.0844127639157373</v>
      </c>
      <c r="K48" s="2">
        <v>7.798610100028192</v>
      </c>
    </row>
    <row r="49" spans="2:11" x14ac:dyDescent="0.3">
      <c r="B49" s="3">
        <v>45839</v>
      </c>
      <c r="C49" s="2">
        <v>8.9901166417813041</v>
      </c>
      <c r="D49" s="2">
        <v>14.539578038424693</v>
      </c>
      <c r="E49" s="2">
        <v>11.24960146043736</v>
      </c>
      <c r="F49" s="2">
        <v>2.5595337603153832</v>
      </c>
      <c r="G49" s="2">
        <v>17.109079196324139</v>
      </c>
      <c r="H49" s="2">
        <v>12.070156943532558</v>
      </c>
      <c r="I49" s="2">
        <v>2.1807099191992849</v>
      </c>
      <c r="J49" s="2">
        <v>5.258201222105086</v>
      </c>
      <c r="K49" s="2">
        <v>12.152149468458694</v>
      </c>
    </row>
    <row r="50" spans="2:11" x14ac:dyDescent="0.3">
      <c r="B50" s="3">
        <v>45870</v>
      </c>
      <c r="C50" s="2">
        <v>3.4571105146441341</v>
      </c>
      <c r="D50" s="2">
        <v>13.165180326785547</v>
      </c>
      <c r="E50" s="2">
        <v>17.248667039521955</v>
      </c>
      <c r="F50" s="2">
        <v>7.5569923046763758</v>
      </c>
      <c r="G50" s="2">
        <v>1.984498914565628</v>
      </c>
      <c r="H50" s="2">
        <v>13.335779254115378</v>
      </c>
      <c r="I50" s="2">
        <v>2.9720625980105506</v>
      </c>
      <c r="J50" s="2">
        <v>10.90173086893882</v>
      </c>
      <c r="K50" s="2">
        <v>18.689552459969239</v>
      </c>
    </row>
    <row r="51" spans="2:11" x14ac:dyDescent="0.3">
      <c r="B51" s="3">
        <v>45901</v>
      </c>
      <c r="C51" s="2">
        <v>3.6499805628180932</v>
      </c>
      <c r="D51" s="2">
        <v>7.6699724850610709</v>
      </c>
      <c r="E51" s="2">
        <v>14.668034876962466</v>
      </c>
      <c r="F51" s="2">
        <v>6.7333288054696423</v>
      </c>
      <c r="G51" s="2">
        <v>12.835490128461915</v>
      </c>
      <c r="H51" s="2">
        <v>10.095375130547321</v>
      </c>
      <c r="I51" s="2">
        <v>5.4696627802466269</v>
      </c>
      <c r="J51" s="2">
        <v>9.7859154650417839</v>
      </c>
      <c r="K51" s="2">
        <v>1.0949250005126552</v>
      </c>
    </row>
    <row r="52" spans="2:11" x14ac:dyDescent="0.3">
      <c r="B52" s="3">
        <v>45931</v>
      </c>
      <c r="C52" s="2">
        <v>9.4448777084151185</v>
      </c>
      <c r="D52" s="2">
        <v>1.8846415054839731</v>
      </c>
      <c r="E52" s="2">
        <v>3.7843934987014185</v>
      </c>
      <c r="F52" s="2">
        <v>4.7720098970994753</v>
      </c>
      <c r="G52" s="2">
        <v>5.9388411094406255</v>
      </c>
      <c r="H52" s="2">
        <v>3.9179168269519455</v>
      </c>
      <c r="I52" s="2">
        <v>14.231421522728944</v>
      </c>
      <c r="J52" s="2">
        <v>16.294231477142212</v>
      </c>
      <c r="K52" s="2">
        <v>7.4325764744473446</v>
      </c>
    </row>
    <row r="53" spans="2:11" x14ac:dyDescent="0.3">
      <c r="B53" s="3">
        <v>45962</v>
      </c>
      <c r="C53" s="2">
        <v>10.207698398027413</v>
      </c>
      <c r="D53" s="2">
        <v>9.8459436173681816</v>
      </c>
      <c r="E53" s="2">
        <v>14.395596961434705</v>
      </c>
      <c r="F53" s="2">
        <v>15.950811885924397</v>
      </c>
      <c r="G53" s="2">
        <v>10.712799814523395</v>
      </c>
      <c r="H53" s="2">
        <v>2.225369809297117</v>
      </c>
      <c r="I53" s="2">
        <v>14.539818641574612</v>
      </c>
      <c r="J53" s="2">
        <v>3.7114969826075255</v>
      </c>
      <c r="K53" s="2">
        <v>18.226527715157168</v>
      </c>
    </row>
    <row r="54" spans="2:11" x14ac:dyDescent="0.3">
      <c r="B54" s="3">
        <v>45992</v>
      </c>
      <c r="C54" s="2">
        <v>19.175911117762787</v>
      </c>
      <c r="D54" s="2">
        <v>16.014539377762389</v>
      </c>
      <c r="E54" s="2">
        <v>11.132068910184259</v>
      </c>
      <c r="F54" s="2">
        <v>19.734393551515907</v>
      </c>
      <c r="G54" s="2">
        <v>7.5806592207421</v>
      </c>
      <c r="H54" s="2">
        <v>13.490493160486093</v>
      </c>
      <c r="I54" s="2">
        <v>13.269325903798526</v>
      </c>
      <c r="J54" s="2">
        <v>19.056679502911692</v>
      </c>
      <c r="K54" s="2">
        <v>10.292394326704045</v>
      </c>
    </row>
    <row r="55" spans="2:11" x14ac:dyDescent="0.3">
      <c r="B55" s="3">
        <v>46023</v>
      </c>
      <c r="C55" s="2">
        <v>16.936290118561313</v>
      </c>
      <c r="D55" s="2">
        <v>18.310910862700073</v>
      </c>
      <c r="E55" s="2">
        <v>7.7597375137856837</v>
      </c>
      <c r="F55" s="2">
        <v>13.93857943651396</v>
      </c>
      <c r="G55" s="2">
        <v>20.635714562885646</v>
      </c>
      <c r="H55" s="2">
        <v>18.048184850081842</v>
      </c>
      <c r="I55" s="2">
        <v>1.5153473140639822</v>
      </c>
      <c r="J55" s="2">
        <v>17.032039722614243</v>
      </c>
      <c r="K55" s="2">
        <v>15.457435340098725</v>
      </c>
    </row>
    <row r="56" spans="2:11" x14ac:dyDescent="0.3">
      <c r="B56" s="3">
        <v>46054</v>
      </c>
      <c r="C56" s="2">
        <v>1.4203245081946321</v>
      </c>
      <c r="D56" s="2">
        <v>3.6892311956952075</v>
      </c>
      <c r="E56" s="2">
        <v>13.343783203445877</v>
      </c>
      <c r="F56" s="2">
        <v>18.102007758144541</v>
      </c>
      <c r="G56" s="2">
        <v>5.6851473854471797</v>
      </c>
      <c r="H56" s="2">
        <v>17.29549645442944</v>
      </c>
      <c r="I56" s="2">
        <v>5.3823668512628204</v>
      </c>
      <c r="J56" s="2">
        <v>20.831162719461634</v>
      </c>
      <c r="K56" s="2">
        <v>13.110944568948309</v>
      </c>
    </row>
    <row r="57" spans="2:11" x14ac:dyDescent="0.3">
      <c r="B57" s="3">
        <v>46082</v>
      </c>
      <c r="C57" s="2">
        <v>14.529214866490058</v>
      </c>
      <c r="D57" s="2">
        <v>20.007387480040208</v>
      </c>
      <c r="E57" s="2">
        <v>11.791109334986229</v>
      </c>
      <c r="F57" s="2">
        <v>15.373637546204241</v>
      </c>
      <c r="G57" s="2">
        <v>8.2945704632117678</v>
      </c>
      <c r="H57" s="2">
        <v>19.316755147840468</v>
      </c>
      <c r="I57" s="2">
        <v>10.496517519518767</v>
      </c>
      <c r="J57" s="2">
        <v>15.513696786421431</v>
      </c>
      <c r="K57" s="2">
        <v>19.892248836534982</v>
      </c>
    </row>
    <row r="59" spans="2:11" x14ac:dyDescent="0.3">
      <c r="B59" t="s">
        <v>35</v>
      </c>
      <c r="C59">
        <f t="shared" ref="C59:K59" si="1">AVERAGE(C22:C57)</f>
        <v>11.142859666645794</v>
      </c>
      <c r="D59">
        <f t="shared" si="1"/>
        <v>10.559672609081701</v>
      </c>
      <c r="E59">
        <f t="shared" si="1"/>
        <v>10.571919256438129</v>
      </c>
      <c r="F59">
        <f t="shared" si="1"/>
        <v>11.074996093970071</v>
      </c>
      <c r="G59">
        <f t="shared" si="1"/>
        <v>10.515964078339781</v>
      </c>
      <c r="H59">
        <f t="shared" si="1"/>
        <v>11.498429558784752</v>
      </c>
      <c r="I59">
        <f t="shared" si="1"/>
        <v>10.25701383102831</v>
      </c>
      <c r="J59">
        <f t="shared" si="1"/>
        <v>11.851383655952423</v>
      </c>
      <c r="K59">
        <f t="shared" si="1"/>
        <v>9.7362916706288072</v>
      </c>
    </row>
    <row r="60" spans="2:11" x14ac:dyDescent="0.3">
      <c r="B60" t="s">
        <v>36</v>
      </c>
      <c r="C60" s="8">
        <f t="shared" ref="C60:K60" si="2">(C57-C59)%</f>
        <v>3.386355199844264E-2</v>
      </c>
      <c r="D60" s="8">
        <f t="shared" si="2"/>
        <v>9.4477148709585068E-2</v>
      </c>
      <c r="E60" s="8">
        <f t="shared" si="2"/>
        <v>1.2191900785481007E-2</v>
      </c>
      <c r="F60" s="8">
        <f t="shared" si="2"/>
        <v>4.2986414522341698E-2</v>
      </c>
      <c r="G60" s="8">
        <f t="shared" si="2"/>
        <v>-2.2213936151280134E-2</v>
      </c>
      <c r="H60" s="8">
        <f t="shared" si="2"/>
        <v>7.8183255890557163E-2</v>
      </c>
      <c r="I60" s="8">
        <f t="shared" si="2"/>
        <v>2.3950368849045668E-3</v>
      </c>
      <c r="J60" s="8">
        <f t="shared" si="2"/>
        <v>3.6623131304690075E-2</v>
      </c>
      <c r="K60" s="8">
        <f t="shared" si="2"/>
        <v>0.10155957165906175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2026-08-04T17:43:26Z</dcterms:created>
  <dcterms:modified xsi:type="dcterms:W3CDTF">2026-08-14T04:10:44Z</dcterms:modified>
</cp:coreProperties>
</file>